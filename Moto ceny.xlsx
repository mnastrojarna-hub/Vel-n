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irka\Desktop\Motorky nový byz\"/>
    </mc:Choice>
  </mc:AlternateContent>
  <bookViews>
    <workbookView xWindow="0" yWindow="0" windowWidth="23040" windowHeight="9408"/>
  </bookViews>
  <sheets>
    <sheet name="Lis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27" i="1" l="1"/>
  <c r="C27" i="1" s="1"/>
  <c r="U28" i="1"/>
  <c r="C28" i="1" s="1"/>
  <c r="T27" i="1"/>
  <c r="T28" i="1"/>
  <c r="S27" i="1"/>
  <c r="S28" i="1"/>
  <c r="Q27" i="1"/>
  <c r="Q28" i="1"/>
  <c r="S26" i="1"/>
  <c r="T26" i="1"/>
  <c r="U26" i="1" s="1"/>
  <c r="C26" i="1" s="1"/>
  <c r="Q26" i="1"/>
  <c r="E27" i="1" l="1"/>
  <c r="F27" i="1"/>
  <c r="J27" i="1"/>
  <c r="G27" i="1"/>
  <c r="D27" i="1"/>
  <c r="I27" i="1" s="1"/>
  <c r="H27" i="1"/>
  <c r="D26" i="1"/>
  <c r="I26" i="1" s="1"/>
  <c r="F26" i="1"/>
  <c r="F28" i="1"/>
  <c r="G28" i="1"/>
  <c r="D28" i="1"/>
  <c r="I28" i="1" s="1"/>
  <c r="H28" i="1"/>
  <c r="E28" i="1"/>
  <c r="J28" i="1"/>
  <c r="J26" i="1"/>
  <c r="E26" i="1"/>
  <c r="H26" i="1"/>
  <c r="G26" i="1"/>
  <c r="S29" i="1"/>
  <c r="T29" i="1" s="1"/>
  <c r="U29" i="1" s="1"/>
  <c r="C29" i="1" s="1"/>
  <c r="F29" i="1" s="1"/>
  <c r="Q29" i="1"/>
  <c r="Q25" i="1"/>
  <c r="S25" i="1" s="1"/>
  <c r="T25" i="1" s="1"/>
  <c r="U25" i="1" s="1"/>
  <c r="C25" i="1" s="1"/>
  <c r="D25" i="1" l="1"/>
  <c r="I25" i="1" s="1"/>
  <c r="F25" i="1"/>
  <c r="J29" i="1"/>
  <c r="E29" i="1"/>
  <c r="H29" i="1"/>
  <c r="G29" i="1"/>
  <c r="D29" i="1"/>
  <c r="I29" i="1" s="1"/>
  <c r="J25" i="1"/>
  <c r="E25" i="1"/>
  <c r="H25" i="1"/>
  <c r="G25" i="1"/>
  <c r="Q23" i="1"/>
  <c r="S23" i="1" s="1"/>
  <c r="T23" i="1" s="1"/>
  <c r="U23" i="1" s="1"/>
  <c r="Q24" i="1"/>
  <c r="S24" i="1" s="1"/>
  <c r="T24" i="1" s="1"/>
  <c r="U24" i="1" s="1"/>
  <c r="Q22" i="1" l="1"/>
  <c r="S22" i="1" s="1"/>
  <c r="T22" i="1" s="1"/>
  <c r="U22" i="1" s="1"/>
  <c r="C22" i="1" s="1"/>
  <c r="J22" i="1" s="1"/>
  <c r="J23" i="1"/>
  <c r="H23" i="1"/>
  <c r="G23" i="1"/>
  <c r="F23" i="1"/>
  <c r="D23" i="1"/>
  <c r="I23" i="1" s="1"/>
  <c r="Q21" i="1"/>
  <c r="S21" i="1" s="1"/>
  <c r="T21" i="1" s="1"/>
  <c r="U21" i="1" s="1"/>
  <c r="C21" i="1" s="1"/>
  <c r="E23" i="1"/>
  <c r="C24" i="1"/>
  <c r="H24" i="1" s="1"/>
  <c r="D21" i="1" l="1"/>
  <c r="I21" i="1" s="1"/>
  <c r="G21" i="1"/>
  <c r="E21" i="1"/>
  <c r="H21" i="1"/>
  <c r="F21" i="1"/>
  <c r="J21" i="1"/>
  <c r="F24" i="1"/>
  <c r="J24" i="1"/>
  <c r="G24" i="1"/>
  <c r="E24" i="1"/>
  <c r="D24" i="1"/>
  <c r="I24" i="1" s="1"/>
  <c r="D22" i="1"/>
  <c r="I22" i="1" s="1"/>
  <c r="E22" i="1"/>
  <c r="F22" i="1"/>
  <c r="G22" i="1"/>
  <c r="H22" i="1"/>
  <c r="Q20" i="1" l="1"/>
  <c r="S20" i="1" s="1"/>
  <c r="T20" i="1" s="1"/>
  <c r="U20" i="1" s="1"/>
  <c r="C20" i="1" s="1"/>
  <c r="D20" i="1" l="1"/>
  <c r="I20" i="1" s="1"/>
  <c r="F20" i="1"/>
  <c r="J20" i="1"/>
  <c r="E20" i="1"/>
  <c r="H20" i="1"/>
  <c r="G20" i="1"/>
  <c r="Q30" i="1"/>
  <c r="S30" i="1" l="1"/>
  <c r="T30" i="1" s="1"/>
  <c r="U30" i="1" s="1"/>
  <c r="C30" i="1" s="1"/>
  <c r="S18" i="1"/>
  <c r="T18" i="1" s="1"/>
  <c r="U18" i="1" s="1"/>
  <c r="Q16" i="1"/>
  <c r="S16" i="1" s="1"/>
  <c r="T16" i="1" s="1"/>
  <c r="U16" i="1" s="1"/>
  <c r="C16" i="1" s="1"/>
  <c r="G16" i="1" s="1"/>
  <c r="Q17" i="1"/>
  <c r="S17" i="1" s="1"/>
  <c r="T17" i="1" s="1"/>
  <c r="U17" i="1" s="1"/>
  <c r="C17" i="1" s="1"/>
  <c r="C54" i="1" s="1"/>
  <c r="D54" i="1" s="1"/>
  <c r="Q18" i="1"/>
  <c r="Q19" i="1"/>
  <c r="S19" i="1" s="1"/>
  <c r="T19" i="1" s="1"/>
  <c r="U19" i="1" s="1"/>
  <c r="Q15" i="1"/>
  <c r="S15" i="1" s="1"/>
  <c r="T15" i="1" s="1"/>
  <c r="U15" i="1" s="1"/>
  <c r="C15" i="1" s="1"/>
  <c r="J30" i="1" l="1"/>
  <c r="E30" i="1"/>
  <c r="H30" i="1"/>
  <c r="D30" i="1"/>
  <c r="I30" i="1" s="1"/>
  <c r="G30" i="1"/>
  <c r="F30" i="1"/>
  <c r="C53" i="1"/>
  <c r="D53" i="1" s="1"/>
  <c r="E15" i="1"/>
  <c r="G15" i="1"/>
  <c r="C52" i="1"/>
  <c r="D52" i="1" s="1"/>
  <c r="D15" i="1"/>
  <c r="I15" i="1" s="1"/>
  <c r="F15" i="1"/>
  <c r="H15" i="1"/>
  <c r="J15" i="1"/>
  <c r="H17" i="1"/>
  <c r="D17" i="1"/>
  <c r="I17" i="1" s="1"/>
  <c r="E17" i="1"/>
  <c r="F17" i="1"/>
  <c r="G17" i="1"/>
  <c r="J17" i="1"/>
  <c r="F16" i="1"/>
  <c r="J16" i="1"/>
  <c r="E16" i="1"/>
  <c r="D16" i="1"/>
  <c r="I16" i="1" s="1"/>
  <c r="H16" i="1"/>
  <c r="Q10" i="1"/>
  <c r="S10" i="1" s="1"/>
  <c r="T10" i="1" s="1"/>
  <c r="U10" i="1" s="1"/>
  <c r="Q11" i="1"/>
  <c r="S11" i="1" s="1"/>
  <c r="T11" i="1" s="1"/>
  <c r="U11" i="1" s="1"/>
  <c r="C11" i="1" s="1"/>
  <c r="Q12" i="1"/>
  <c r="S12" i="1" s="1"/>
  <c r="T12" i="1" s="1"/>
  <c r="U12" i="1" s="1"/>
  <c r="C12" i="1" s="1"/>
  <c r="Q13" i="1"/>
  <c r="S13" i="1" s="1"/>
  <c r="T13" i="1" s="1"/>
  <c r="U13" i="1" s="1"/>
  <c r="C13" i="1" s="1"/>
  <c r="C50" i="1" s="1"/>
  <c r="D50" i="1" s="1"/>
  <c r="Q14" i="1"/>
  <c r="S14" i="1" s="1"/>
  <c r="T14" i="1" s="1"/>
  <c r="U14" i="1" s="1"/>
  <c r="C14" i="1" s="1"/>
  <c r="C51" i="1" s="1"/>
  <c r="D51" i="1" s="1"/>
  <c r="J12" i="1" l="1"/>
  <c r="C49" i="1"/>
  <c r="D49" i="1" s="1"/>
  <c r="J11" i="1"/>
  <c r="C48" i="1"/>
  <c r="D48" i="1" s="1"/>
  <c r="C19" i="1"/>
  <c r="C56" i="1" s="1"/>
  <c r="D56" i="1" s="1"/>
  <c r="C18" i="1"/>
  <c r="G14" i="1"/>
  <c r="J14" i="1"/>
  <c r="H14" i="1"/>
  <c r="F14" i="1"/>
  <c r="D14" i="1"/>
  <c r="I14" i="1" s="1"/>
  <c r="G13" i="1"/>
  <c r="E13" i="1"/>
  <c r="J13" i="1"/>
  <c r="H13" i="1"/>
  <c r="F13" i="1"/>
  <c r="D13" i="1"/>
  <c r="I13" i="1" s="1"/>
  <c r="E12" i="1"/>
  <c r="G12" i="1"/>
  <c r="E11" i="1"/>
  <c r="G11" i="1"/>
  <c r="D12" i="1"/>
  <c r="I12" i="1" s="1"/>
  <c r="E14" i="1"/>
  <c r="F12" i="1"/>
  <c r="H12" i="1"/>
  <c r="D11" i="1"/>
  <c r="I11" i="1" s="1"/>
  <c r="F11" i="1"/>
  <c r="H11" i="1"/>
  <c r="C10" i="1"/>
  <c r="C47" i="1" s="1"/>
  <c r="D47" i="1" s="1"/>
  <c r="Q9" i="1"/>
  <c r="S9" i="1" s="1"/>
  <c r="T9" i="1" s="1"/>
  <c r="U9" i="1" s="1"/>
  <c r="C9" i="1" s="1"/>
  <c r="C46" i="1" s="1"/>
  <c r="D46" i="1" s="1"/>
  <c r="E18" i="1" l="1"/>
  <c r="F18" i="1"/>
  <c r="J18" i="1"/>
  <c r="C55" i="1"/>
  <c r="D55" i="1" s="1"/>
  <c r="G18" i="1"/>
  <c r="D18" i="1"/>
  <c r="I18" i="1" s="1"/>
  <c r="H18" i="1"/>
  <c r="F19" i="1"/>
  <c r="E19" i="1"/>
  <c r="H19" i="1"/>
  <c r="D19" i="1"/>
  <c r="I19" i="1" s="1"/>
  <c r="J19" i="1"/>
  <c r="G19" i="1"/>
  <c r="G10" i="1"/>
  <c r="H10" i="1"/>
  <c r="E10" i="1"/>
  <c r="J10" i="1"/>
  <c r="F10" i="1"/>
  <c r="D10" i="1"/>
  <c r="I10" i="1" s="1"/>
  <c r="J9" i="1"/>
  <c r="D9" i="1"/>
  <c r="I9" i="1" s="1"/>
  <c r="H9" i="1"/>
  <c r="G9" i="1"/>
  <c r="E9" i="1"/>
  <c r="F9" i="1"/>
  <c r="Q4" i="1"/>
  <c r="S4" i="1" s="1"/>
  <c r="T4" i="1" s="1"/>
  <c r="U4" i="1" s="1"/>
  <c r="C4" i="1" s="1"/>
  <c r="C41" i="1" s="1"/>
  <c r="Q6" i="1"/>
  <c r="S6" i="1" s="1"/>
  <c r="T6" i="1" s="1"/>
  <c r="U6" i="1" s="1"/>
  <c r="C6" i="1" s="1"/>
  <c r="Q7" i="1"/>
  <c r="S7" i="1" s="1"/>
  <c r="T7" i="1" s="1"/>
  <c r="U7" i="1" s="1"/>
  <c r="C7" i="1" s="1"/>
  <c r="C44" i="1" s="1"/>
  <c r="D44" i="1" s="1"/>
  <c r="Q8" i="1"/>
  <c r="S8" i="1" s="1"/>
  <c r="T8" i="1" s="1"/>
  <c r="U8" i="1" s="1"/>
  <c r="C8" i="1" s="1"/>
  <c r="C45" i="1" s="1"/>
  <c r="D45" i="1" s="1"/>
  <c r="Q5" i="1"/>
  <c r="S5" i="1" s="1"/>
  <c r="T5" i="1" s="1"/>
  <c r="U5" i="1" s="1"/>
  <c r="C5" i="1" s="1"/>
  <c r="B1" i="1" l="1"/>
  <c r="D41" i="1"/>
  <c r="G6" i="1"/>
  <c r="C43" i="1"/>
  <c r="D43" i="1" s="1"/>
  <c r="G5" i="1"/>
  <c r="C42" i="1"/>
  <c r="D42" i="1" s="1"/>
  <c r="J5" i="1"/>
  <c r="E8" i="1"/>
  <c r="F8" i="1"/>
  <c r="D8" i="1"/>
  <c r="I8" i="1" s="1"/>
  <c r="I7" i="1"/>
  <c r="F7" i="1"/>
  <c r="E7" i="1"/>
  <c r="E6" i="1"/>
  <c r="F6" i="1"/>
  <c r="I6" i="1"/>
  <c r="E5" i="1"/>
  <c r="F5" i="1"/>
  <c r="D5" i="1"/>
  <c r="H5" i="1"/>
  <c r="J4" i="1"/>
  <c r="D4" i="1"/>
  <c r="I4" i="1" s="1"/>
  <c r="G4" i="1"/>
  <c r="H4" i="1"/>
  <c r="F4" i="1"/>
  <c r="E4" i="1"/>
  <c r="G8" i="1"/>
  <c r="J7" i="1"/>
  <c r="H8" i="1"/>
  <c r="G7" i="1"/>
  <c r="J6" i="1"/>
  <c r="D39" i="1" l="1"/>
  <c r="C39" i="1"/>
</calcChain>
</file>

<file path=xl/sharedStrings.xml><?xml version="1.0" encoding="utf-8"?>
<sst xmlns="http://schemas.openxmlformats.org/spreadsheetml/2006/main" count="72" uniqueCount="54">
  <si>
    <t>Pondělí</t>
  </si>
  <si>
    <t>Úterý</t>
  </si>
  <si>
    <t>Středa</t>
  </si>
  <si>
    <t>Čtvrtek</t>
  </si>
  <si>
    <t>Pátek</t>
  </si>
  <si>
    <t>Sobota</t>
  </si>
  <si>
    <t>Neděle</t>
  </si>
  <si>
    <t>Moto</t>
  </si>
  <si>
    <t>Základní cena</t>
  </si>
  <si>
    <t>JAWA 500</t>
  </si>
  <si>
    <t>BMW 1200 GSA</t>
  </si>
  <si>
    <t>TRK 502</t>
  </si>
  <si>
    <t>TRK 702</t>
  </si>
  <si>
    <t>Cena moto</t>
  </si>
  <si>
    <t>Servis</t>
  </si>
  <si>
    <t>četnost servisu/rok</t>
  </si>
  <si>
    <t>Počet půjčených dní</t>
  </si>
  <si>
    <t>Náklady na rok</t>
  </si>
  <si>
    <t>Základní cena bez marže</t>
  </si>
  <si>
    <t>Zákl. cena.</t>
  </si>
  <si>
    <t>Doba cílené návratnosti</t>
  </si>
  <si>
    <t>Náklady na návrtanost</t>
  </si>
  <si>
    <t>Pojištění+čistírna</t>
  </si>
  <si>
    <t>Cena za přistavení motorky</t>
  </si>
  <si>
    <t>počet najetých km * 20 Kč * 2 + 500 + 500</t>
  </si>
  <si>
    <t>Cena za vyzvednutí motorky</t>
  </si>
  <si>
    <t>Cena za půjčení základní výbavy spolujezdce (kompletní set na celou dobu výpůjčky)</t>
  </si>
  <si>
    <t>Cena za půjčení 1 páru bot</t>
  </si>
  <si>
    <t>KTM 50</t>
  </si>
  <si>
    <t>Yamaha XT660</t>
  </si>
  <si>
    <t>Obrat /rok</t>
  </si>
  <si>
    <t>Zisk/rok</t>
  </si>
  <si>
    <t>Celkem</t>
  </si>
  <si>
    <t>Ducati multistrada</t>
  </si>
  <si>
    <t>Triupmph 1200 XC Explorer</t>
  </si>
  <si>
    <t>KTM super adventure R</t>
  </si>
  <si>
    <t>Yamaha niken GT</t>
  </si>
  <si>
    <t>Yamaha XT 660 X</t>
  </si>
  <si>
    <t>CF 800 MT touring</t>
  </si>
  <si>
    <t>Kawaski Z900</t>
  </si>
  <si>
    <t>Yamaha MT-09</t>
  </si>
  <si>
    <t>Yamaha XTZ 1200 E supertenere</t>
  </si>
  <si>
    <t>Yamaha PW 50</t>
  </si>
  <si>
    <t>Honda xl Varadero</t>
  </si>
  <si>
    <t>Honda XRV 1000</t>
  </si>
  <si>
    <t>Husqvarna TC 65</t>
  </si>
  <si>
    <t>Suzuki DL 650 V-strom</t>
  </si>
  <si>
    <t>Husqvarna TC 85</t>
  </si>
  <si>
    <t>Husqvarna 701 SM</t>
  </si>
  <si>
    <t>Aprilia SR 125</t>
  </si>
  <si>
    <t>Voge 500 DX</t>
  </si>
  <si>
    <t>Honda VTX 1800</t>
  </si>
  <si>
    <t>Royal Enfield Shotgun 650</t>
  </si>
  <si>
    <t>Aprilia RS 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</si>
</sst>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6" formatCode="#,##0\ &quot;Kč&quot;;[Red]\-#,##0\ &quot;Kč&quot;"/>
  </numFmts>
  <fonts count="3" x14ac:knownFonts="1">
    <font>
      <sz val="11"/>
      <color theme="1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3" fontId="0" fillId="3" borderId="1" xfId="0" applyNumberFormat="1" applyFill="1" applyBorder="1" applyAlignment="1">
      <alignment horizontal="center" vertical="center"/>
    </xf>
    <xf numFmtId="3" fontId="0" fillId="4" borderId="1" xfId="0" applyNumberFormat="1" applyFill="1" applyBorder="1" applyAlignment="1">
      <alignment horizontal="center" vertical="center"/>
    </xf>
    <xf numFmtId="6" fontId="0" fillId="0" borderId="0" xfId="0" applyNumberFormat="1" applyAlignment="1">
      <alignment horizontal="center" vertical="center"/>
    </xf>
    <xf numFmtId="3" fontId="0" fillId="5" borderId="1" xfId="0" applyNumberForma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3" fontId="1" fillId="3" borderId="1" xfId="0" applyNumberFormat="1" applyFont="1" applyFill="1" applyBorder="1" applyAlignment="1">
      <alignment horizontal="center" vertical="center"/>
    </xf>
    <xf numFmtId="3" fontId="0" fillId="0" borderId="0" xfId="0" applyNumberFormat="1"/>
    <xf numFmtId="0" fontId="0" fillId="0" borderId="1" xfId="0" applyBorder="1"/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/>
    </xf>
    <xf numFmtId="3" fontId="2" fillId="3" borderId="1" xfId="0" applyNumberFormat="1" applyFont="1" applyFill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3" fontId="2" fillId="5" borderId="1" xfId="0" applyNumberFormat="1" applyFont="1" applyFill="1" applyBorder="1" applyAlignment="1">
      <alignment horizontal="center" vertical="center"/>
    </xf>
    <xf numFmtId="0" fontId="2" fillId="0" borderId="0" xfId="0" applyFont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celář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56"/>
  <sheetViews>
    <sheetView tabSelected="1" zoomScaleNormal="100" workbookViewId="0">
      <selection activeCell="N17" sqref="N17"/>
    </sheetView>
  </sheetViews>
  <sheetFormatPr defaultRowHeight="14.4" x14ac:dyDescent="0.3"/>
  <cols>
    <col min="1" max="1" width="6.77734375" customWidth="1"/>
    <col min="2" max="2" width="31.5546875" customWidth="1"/>
    <col min="3" max="3" width="13.5546875" customWidth="1"/>
    <col min="12" max="12" width="11.21875" customWidth="1"/>
    <col min="13" max="13" width="9.44140625" customWidth="1"/>
    <col min="14" max="14" width="18" customWidth="1"/>
    <col min="15" max="15" width="17.109375" customWidth="1"/>
    <col min="16" max="16" width="21" customWidth="1"/>
    <col min="17" max="17" width="16.5546875" customWidth="1"/>
    <col min="18" max="18" width="22.21875" customWidth="1"/>
    <col min="19" max="19" width="18.77734375" customWidth="1"/>
    <col min="20" max="20" width="25.21875" customWidth="1"/>
    <col min="21" max="21" width="19.5546875" customWidth="1"/>
  </cols>
  <sheetData>
    <row r="1" spans="2:21" x14ac:dyDescent="0.3">
      <c r="B1" s="11">
        <f>AVERAGE(C4:C30)</f>
        <v>3608.796296296297</v>
      </c>
    </row>
    <row r="3" spans="2:21" x14ac:dyDescent="0.3">
      <c r="B3" s="3" t="s">
        <v>7</v>
      </c>
      <c r="C3" s="3" t="s">
        <v>8</v>
      </c>
      <c r="D3" s="3" t="s">
        <v>0</v>
      </c>
      <c r="E3" s="3" t="s">
        <v>1</v>
      </c>
      <c r="F3" s="3" t="s">
        <v>2</v>
      </c>
      <c r="G3" s="3" t="s">
        <v>3</v>
      </c>
      <c r="H3" s="3" t="s">
        <v>4</v>
      </c>
      <c r="I3" s="3" t="s">
        <v>5</v>
      </c>
      <c r="J3" s="3" t="s">
        <v>6</v>
      </c>
      <c r="L3" s="3" t="s">
        <v>13</v>
      </c>
      <c r="M3" s="3" t="s">
        <v>14</v>
      </c>
      <c r="N3" s="3" t="s">
        <v>15</v>
      </c>
      <c r="O3" s="3" t="s">
        <v>22</v>
      </c>
      <c r="P3" s="3" t="s">
        <v>16</v>
      </c>
      <c r="Q3" s="3" t="s">
        <v>17</v>
      </c>
      <c r="R3" s="3" t="s">
        <v>20</v>
      </c>
      <c r="S3" s="3" t="s">
        <v>21</v>
      </c>
      <c r="T3" s="3" t="s">
        <v>18</v>
      </c>
      <c r="U3" s="3" t="s">
        <v>19</v>
      </c>
    </row>
    <row r="4" spans="2:21" x14ac:dyDescent="0.3">
      <c r="B4" s="15" t="s">
        <v>9</v>
      </c>
      <c r="C4" s="4">
        <f>U4</f>
        <v>2750</v>
      </c>
      <c r="D4" s="2">
        <f>C4</f>
        <v>2750</v>
      </c>
      <c r="E4" s="2">
        <f>C4*0.9</f>
        <v>2475</v>
      </c>
      <c r="F4" s="2">
        <f>C4*0.8</f>
        <v>2200</v>
      </c>
      <c r="G4" s="2">
        <f>C4*0.9</f>
        <v>2475</v>
      </c>
      <c r="H4" s="2">
        <f>C4</f>
        <v>2750</v>
      </c>
      <c r="I4" s="2">
        <f>D4*1.2</f>
        <v>3300</v>
      </c>
      <c r="J4" s="2">
        <f>C4*1.1</f>
        <v>3025.0000000000005</v>
      </c>
      <c r="L4" s="4">
        <v>89000</v>
      </c>
      <c r="M4" s="4">
        <v>10000</v>
      </c>
      <c r="N4" s="4">
        <v>3</v>
      </c>
      <c r="O4" s="4">
        <v>13000</v>
      </c>
      <c r="P4" s="4">
        <v>60</v>
      </c>
      <c r="Q4" s="2">
        <f>M4*N4+O4</f>
        <v>43000</v>
      </c>
      <c r="R4" s="4">
        <v>2</v>
      </c>
      <c r="S4" s="2">
        <f>L4*R4+Q4*R4</f>
        <v>264000</v>
      </c>
      <c r="T4" s="2">
        <f>S4/(P4*R4)</f>
        <v>2200</v>
      </c>
      <c r="U4" s="2">
        <f>T4*1.25</f>
        <v>2750</v>
      </c>
    </row>
    <row r="5" spans="2:21" x14ac:dyDescent="0.3">
      <c r="B5" s="3" t="s">
        <v>10</v>
      </c>
      <c r="C5" s="4">
        <f t="shared" ref="C5:C29" si="0">U5</f>
        <v>5270.8333333333339</v>
      </c>
      <c r="D5" s="2">
        <f t="shared" ref="D5:D30" si="1">C5</f>
        <v>5270.8333333333339</v>
      </c>
      <c r="E5" s="2">
        <f t="shared" ref="E5:E30" si="2">C5*0.9</f>
        <v>4743.7500000000009</v>
      </c>
      <c r="F5" s="2">
        <f t="shared" ref="F5:F30" si="3">C5*0.8</f>
        <v>4216.666666666667</v>
      </c>
      <c r="G5" s="2">
        <f t="shared" ref="G5:G30" si="4">C5*0.9</f>
        <v>4743.7500000000009</v>
      </c>
      <c r="H5" s="2">
        <f t="shared" ref="H5:H30" si="5">C5</f>
        <v>5270.8333333333339</v>
      </c>
      <c r="I5" s="5">
        <v>4882</v>
      </c>
      <c r="J5" s="2">
        <f t="shared" ref="J5:J7" si="6">C5*1.1</f>
        <v>5797.9166666666679</v>
      </c>
      <c r="L5" s="4">
        <v>210000</v>
      </c>
      <c r="M5" s="4">
        <v>15000</v>
      </c>
      <c r="N5" s="4">
        <v>2</v>
      </c>
      <c r="O5" s="4">
        <v>13000</v>
      </c>
      <c r="P5" s="4">
        <v>60</v>
      </c>
      <c r="Q5" s="2">
        <f>M5*N5+O5</f>
        <v>43000</v>
      </c>
      <c r="R5" s="4">
        <v>2</v>
      </c>
      <c r="S5" s="2">
        <f>L5*R5+Q5*R5</f>
        <v>506000</v>
      </c>
      <c r="T5" s="2">
        <f>S5/(P5*R5)</f>
        <v>4216.666666666667</v>
      </c>
      <c r="U5" s="2">
        <f t="shared" ref="U5:U30" si="7">T5*1.25</f>
        <v>5270.8333333333339</v>
      </c>
    </row>
    <row r="6" spans="2:21" x14ac:dyDescent="0.3">
      <c r="B6" s="3" t="s">
        <v>12</v>
      </c>
      <c r="C6" s="4">
        <f t="shared" si="0"/>
        <v>4166.666666666667</v>
      </c>
      <c r="D6" s="5">
        <v>2951</v>
      </c>
      <c r="E6" s="2">
        <f t="shared" si="2"/>
        <v>3750.0000000000005</v>
      </c>
      <c r="F6" s="2">
        <f t="shared" si="3"/>
        <v>3333.3333333333339</v>
      </c>
      <c r="G6" s="2">
        <f t="shared" si="4"/>
        <v>3750.0000000000005</v>
      </c>
      <c r="H6" s="5">
        <v>2892</v>
      </c>
      <c r="I6" s="2">
        <f t="shared" ref="I6:I30" si="8">D6*1.2</f>
        <v>3541.2</v>
      </c>
      <c r="J6" s="2">
        <f t="shared" si="6"/>
        <v>4583.3333333333339</v>
      </c>
      <c r="L6" s="4">
        <v>142000</v>
      </c>
      <c r="M6" s="4">
        <v>15000</v>
      </c>
      <c r="N6" s="4">
        <v>3</v>
      </c>
      <c r="O6" s="4">
        <v>13000</v>
      </c>
      <c r="P6" s="4">
        <v>60</v>
      </c>
      <c r="Q6" s="2">
        <f t="shared" ref="Q6:Q30" si="9">M6*N6+O6</f>
        <v>58000</v>
      </c>
      <c r="R6" s="4">
        <v>2</v>
      </c>
      <c r="S6" s="2">
        <f t="shared" ref="S6:S30" si="10">L6*R6+Q6*R6</f>
        <v>400000</v>
      </c>
      <c r="T6" s="2">
        <f t="shared" ref="T6:T30" si="11">S6/(P6*R6)</f>
        <v>3333.3333333333335</v>
      </c>
      <c r="U6" s="2">
        <f t="shared" si="7"/>
        <v>4166.666666666667</v>
      </c>
    </row>
    <row r="7" spans="2:21" x14ac:dyDescent="0.3">
      <c r="B7" s="15" t="s">
        <v>38</v>
      </c>
      <c r="C7" s="4">
        <f t="shared" si="0"/>
        <v>6104.1666666666661</v>
      </c>
      <c r="D7" s="5">
        <v>3941</v>
      </c>
      <c r="E7" s="2">
        <f t="shared" si="2"/>
        <v>5493.75</v>
      </c>
      <c r="F7" s="2">
        <f t="shared" si="3"/>
        <v>4883.333333333333</v>
      </c>
      <c r="G7" s="2">
        <f t="shared" si="4"/>
        <v>5493.75</v>
      </c>
      <c r="H7" s="5">
        <v>3892</v>
      </c>
      <c r="I7" s="2">
        <f t="shared" si="8"/>
        <v>4729.2</v>
      </c>
      <c r="J7" s="2">
        <f t="shared" si="6"/>
        <v>6714.583333333333</v>
      </c>
      <c r="L7" s="4">
        <v>250000</v>
      </c>
      <c r="M7" s="4">
        <v>15000</v>
      </c>
      <c r="N7" s="4">
        <v>2</v>
      </c>
      <c r="O7" s="4">
        <v>13000</v>
      </c>
      <c r="P7" s="4">
        <v>60</v>
      </c>
      <c r="Q7" s="2">
        <f t="shared" si="9"/>
        <v>43000</v>
      </c>
      <c r="R7" s="4">
        <v>2</v>
      </c>
      <c r="S7" s="2">
        <f t="shared" si="10"/>
        <v>586000</v>
      </c>
      <c r="T7" s="2">
        <f t="shared" si="11"/>
        <v>4883.333333333333</v>
      </c>
      <c r="U7" s="2">
        <f t="shared" si="7"/>
        <v>6104.1666666666661</v>
      </c>
    </row>
    <row r="8" spans="2:21" x14ac:dyDescent="0.3">
      <c r="B8" s="3" t="s">
        <v>11</v>
      </c>
      <c r="C8" s="4">
        <f t="shared" si="0"/>
        <v>2604.166666666667</v>
      </c>
      <c r="D8" s="2">
        <f t="shared" si="1"/>
        <v>2604.166666666667</v>
      </c>
      <c r="E8" s="2">
        <f t="shared" si="2"/>
        <v>2343.7500000000005</v>
      </c>
      <c r="F8" s="2">
        <f t="shared" si="3"/>
        <v>2083.3333333333335</v>
      </c>
      <c r="G8" s="2">
        <f t="shared" si="4"/>
        <v>2343.7500000000005</v>
      </c>
      <c r="H8" s="2">
        <f t="shared" si="5"/>
        <v>2604.166666666667</v>
      </c>
      <c r="I8" s="2">
        <f t="shared" si="8"/>
        <v>3125.0000000000005</v>
      </c>
      <c r="J8" s="5">
        <v>1961</v>
      </c>
      <c r="L8" s="4">
        <v>82000</v>
      </c>
      <c r="M8" s="4">
        <v>10000</v>
      </c>
      <c r="N8" s="4">
        <v>3</v>
      </c>
      <c r="O8" s="4">
        <v>13000</v>
      </c>
      <c r="P8" s="4">
        <v>60</v>
      </c>
      <c r="Q8" s="2">
        <f t="shared" si="9"/>
        <v>43000</v>
      </c>
      <c r="R8" s="4">
        <v>2</v>
      </c>
      <c r="S8" s="2">
        <f t="shared" si="10"/>
        <v>250000</v>
      </c>
      <c r="T8" s="2">
        <f t="shared" si="11"/>
        <v>2083.3333333333335</v>
      </c>
      <c r="U8" s="2">
        <f t="shared" si="7"/>
        <v>2604.166666666667</v>
      </c>
    </row>
    <row r="9" spans="2:21" x14ac:dyDescent="0.3">
      <c r="B9" s="3" t="s">
        <v>28</v>
      </c>
      <c r="C9" s="4">
        <f t="shared" si="0"/>
        <v>1500</v>
      </c>
      <c r="D9" s="2">
        <f t="shared" si="1"/>
        <v>1500</v>
      </c>
      <c r="E9" s="2">
        <f t="shared" si="2"/>
        <v>1350</v>
      </c>
      <c r="F9" s="2">
        <f t="shared" si="3"/>
        <v>1200</v>
      </c>
      <c r="G9" s="2">
        <f t="shared" si="4"/>
        <v>1350</v>
      </c>
      <c r="H9" s="2">
        <f t="shared" si="5"/>
        <v>1500</v>
      </c>
      <c r="I9" s="2">
        <f t="shared" si="8"/>
        <v>1800</v>
      </c>
      <c r="J9" s="7">
        <f>C9*1.1</f>
        <v>1650.0000000000002</v>
      </c>
      <c r="L9" s="4">
        <v>45000</v>
      </c>
      <c r="M9" s="4">
        <v>10000</v>
      </c>
      <c r="N9" s="4">
        <v>2</v>
      </c>
      <c r="O9" s="4">
        <v>7000</v>
      </c>
      <c r="P9" s="4">
        <v>60</v>
      </c>
      <c r="Q9" s="2">
        <f t="shared" si="9"/>
        <v>27000</v>
      </c>
      <c r="R9" s="4">
        <v>2</v>
      </c>
      <c r="S9" s="2">
        <f t="shared" si="10"/>
        <v>144000</v>
      </c>
      <c r="T9" s="2">
        <f t="shared" si="11"/>
        <v>1200</v>
      </c>
      <c r="U9" s="2">
        <f t="shared" si="7"/>
        <v>1500</v>
      </c>
    </row>
    <row r="10" spans="2:21" hidden="1" x14ac:dyDescent="0.3">
      <c r="B10" s="3" t="s">
        <v>29</v>
      </c>
      <c r="C10" s="4">
        <f t="shared" si="0"/>
        <v>2979.166666666667</v>
      </c>
      <c r="D10" s="2">
        <f t="shared" si="1"/>
        <v>2979.166666666667</v>
      </c>
      <c r="E10" s="2">
        <f t="shared" si="2"/>
        <v>2681.2500000000005</v>
      </c>
      <c r="F10" s="2">
        <f t="shared" si="3"/>
        <v>2383.3333333333335</v>
      </c>
      <c r="G10" s="2">
        <f t="shared" si="4"/>
        <v>2681.2500000000005</v>
      </c>
      <c r="H10" s="2">
        <f t="shared" si="5"/>
        <v>2979.166666666667</v>
      </c>
      <c r="I10" s="2">
        <f t="shared" si="8"/>
        <v>3575.0000000000005</v>
      </c>
      <c r="J10" s="7">
        <f t="shared" ref="J10:J30" si="12">C10*1.1</f>
        <v>3277.0833333333339</v>
      </c>
      <c r="L10" s="4">
        <v>90000</v>
      </c>
      <c r="M10" s="4">
        <v>10000</v>
      </c>
      <c r="N10" s="4">
        <v>4</v>
      </c>
      <c r="O10" s="4">
        <v>13000</v>
      </c>
      <c r="P10" s="4">
        <v>60</v>
      </c>
      <c r="Q10" s="2">
        <f t="shared" si="9"/>
        <v>53000</v>
      </c>
      <c r="R10" s="4">
        <v>2</v>
      </c>
      <c r="S10" s="2">
        <f t="shared" si="10"/>
        <v>286000</v>
      </c>
      <c r="T10" s="2">
        <f t="shared" si="11"/>
        <v>2383.3333333333335</v>
      </c>
      <c r="U10" s="2">
        <f t="shared" si="7"/>
        <v>2979.166666666667</v>
      </c>
    </row>
    <row r="11" spans="2:21" s="23" customFormat="1" x14ac:dyDescent="0.3">
      <c r="B11" s="19" t="s">
        <v>33</v>
      </c>
      <c r="C11" s="20">
        <f t="shared" si="0"/>
        <v>5687.5</v>
      </c>
      <c r="D11" s="21">
        <f t="shared" si="1"/>
        <v>5687.5</v>
      </c>
      <c r="E11" s="21">
        <f t="shared" si="2"/>
        <v>5118.75</v>
      </c>
      <c r="F11" s="21">
        <f t="shared" si="3"/>
        <v>4550</v>
      </c>
      <c r="G11" s="21">
        <f t="shared" si="4"/>
        <v>5118.75</v>
      </c>
      <c r="H11" s="21">
        <f t="shared" si="5"/>
        <v>5687.5</v>
      </c>
      <c r="I11" s="21">
        <f t="shared" si="8"/>
        <v>6825</v>
      </c>
      <c r="J11" s="22">
        <f t="shared" si="12"/>
        <v>6256.2500000000009</v>
      </c>
      <c r="L11" s="20">
        <v>200000</v>
      </c>
      <c r="M11" s="20">
        <v>30000</v>
      </c>
      <c r="N11" s="20">
        <v>2</v>
      </c>
      <c r="O11" s="20">
        <v>13000</v>
      </c>
      <c r="P11" s="4">
        <v>60</v>
      </c>
      <c r="Q11" s="21">
        <f t="shared" si="9"/>
        <v>73000</v>
      </c>
      <c r="R11" s="20">
        <v>2</v>
      </c>
      <c r="S11" s="21">
        <f t="shared" si="10"/>
        <v>546000</v>
      </c>
      <c r="T11" s="21">
        <f t="shared" si="11"/>
        <v>4550</v>
      </c>
      <c r="U11" s="21">
        <f t="shared" si="7"/>
        <v>5687.5</v>
      </c>
    </row>
    <row r="12" spans="2:21" x14ac:dyDescent="0.3">
      <c r="B12" s="15" t="s">
        <v>34</v>
      </c>
      <c r="C12" s="4">
        <f t="shared" si="0"/>
        <v>5020.833333333333</v>
      </c>
      <c r="D12" s="2">
        <f t="shared" si="1"/>
        <v>5020.833333333333</v>
      </c>
      <c r="E12" s="2">
        <f t="shared" si="2"/>
        <v>4518.75</v>
      </c>
      <c r="F12" s="2">
        <f t="shared" si="3"/>
        <v>4016.6666666666665</v>
      </c>
      <c r="G12" s="2">
        <f t="shared" si="4"/>
        <v>4518.75</v>
      </c>
      <c r="H12" s="2">
        <f t="shared" si="5"/>
        <v>5020.833333333333</v>
      </c>
      <c r="I12" s="2">
        <f t="shared" si="8"/>
        <v>6024.9999999999991</v>
      </c>
      <c r="J12" s="7">
        <f t="shared" si="12"/>
        <v>5522.916666666667</v>
      </c>
      <c r="L12" s="4">
        <v>168000</v>
      </c>
      <c r="M12" s="4">
        <v>30000</v>
      </c>
      <c r="N12" s="4">
        <v>2</v>
      </c>
      <c r="O12" s="4">
        <v>13000</v>
      </c>
      <c r="P12" s="4">
        <v>60</v>
      </c>
      <c r="Q12" s="2">
        <f t="shared" si="9"/>
        <v>73000</v>
      </c>
      <c r="R12" s="4">
        <v>2</v>
      </c>
      <c r="S12" s="2">
        <f t="shared" si="10"/>
        <v>482000</v>
      </c>
      <c r="T12" s="2">
        <f t="shared" si="11"/>
        <v>4016.6666666666665</v>
      </c>
      <c r="U12" s="2">
        <f t="shared" si="7"/>
        <v>5020.833333333333</v>
      </c>
    </row>
    <row r="13" spans="2:21" x14ac:dyDescent="0.3">
      <c r="B13" s="15" t="s">
        <v>35</v>
      </c>
      <c r="C13" s="4">
        <f t="shared" si="0"/>
        <v>6520.8333333333339</v>
      </c>
      <c r="D13" s="2">
        <f t="shared" si="1"/>
        <v>6520.8333333333339</v>
      </c>
      <c r="E13" s="2">
        <f t="shared" si="2"/>
        <v>5868.7500000000009</v>
      </c>
      <c r="F13" s="2">
        <f t="shared" si="3"/>
        <v>5216.6666666666679</v>
      </c>
      <c r="G13" s="2">
        <f t="shared" si="4"/>
        <v>5868.7500000000009</v>
      </c>
      <c r="H13" s="2">
        <f t="shared" si="5"/>
        <v>6520.8333333333339</v>
      </c>
      <c r="I13" s="2">
        <f t="shared" si="8"/>
        <v>7825</v>
      </c>
      <c r="J13" s="7">
        <f t="shared" si="12"/>
        <v>7172.9166666666679</v>
      </c>
      <c r="L13" s="4">
        <v>240000</v>
      </c>
      <c r="M13" s="4">
        <v>30000</v>
      </c>
      <c r="N13" s="4">
        <v>2</v>
      </c>
      <c r="O13" s="4">
        <v>13000</v>
      </c>
      <c r="P13" s="4">
        <v>60</v>
      </c>
      <c r="Q13" s="2">
        <f t="shared" si="9"/>
        <v>73000</v>
      </c>
      <c r="R13" s="4">
        <v>2</v>
      </c>
      <c r="S13" s="2">
        <f t="shared" si="10"/>
        <v>626000</v>
      </c>
      <c r="T13" s="2">
        <f t="shared" si="11"/>
        <v>5216.666666666667</v>
      </c>
      <c r="U13" s="2">
        <f t="shared" si="7"/>
        <v>6520.8333333333339</v>
      </c>
    </row>
    <row r="14" spans="2:21" x14ac:dyDescent="0.3">
      <c r="B14" s="3" t="s">
        <v>36</v>
      </c>
      <c r="C14" s="4">
        <f t="shared" si="0"/>
        <v>4520.833333333333</v>
      </c>
      <c r="D14" s="2">
        <f t="shared" si="1"/>
        <v>4520.833333333333</v>
      </c>
      <c r="E14" s="2">
        <f t="shared" si="2"/>
        <v>4068.75</v>
      </c>
      <c r="F14" s="2">
        <f t="shared" si="3"/>
        <v>3616.6666666666665</v>
      </c>
      <c r="G14" s="2">
        <f t="shared" si="4"/>
        <v>4068.75</v>
      </c>
      <c r="H14" s="2">
        <f t="shared" si="5"/>
        <v>4520.833333333333</v>
      </c>
      <c r="I14" s="2">
        <f t="shared" si="8"/>
        <v>5424.9999999999991</v>
      </c>
      <c r="J14" s="7">
        <f t="shared" si="12"/>
        <v>4972.916666666667</v>
      </c>
      <c r="L14" s="4">
        <v>174000</v>
      </c>
      <c r="M14" s="4">
        <v>10000</v>
      </c>
      <c r="N14" s="4">
        <v>3</v>
      </c>
      <c r="O14" s="4">
        <v>13000</v>
      </c>
      <c r="P14" s="4">
        <v>60</v>
      </c>
      <c r="Q14" s="2">
        <f t="shared" si="9"/>
        <v>43000</v>
      </c>
      <c r="R14" s="4">
        <v>2</v>
      </c>
      <c r="S14" s="2">
        <f t="shared" si="10"/>
        <v>434000</v>
      </c>
      <c r="T14" s="2">
        <f t="shared" si="11"/>
        <v>3616.6666666666665</v>
      </c>
      <c r="U14" s="2">
        <f t="shared" si="7"/>
        <v>4520.833333333333</v>
      </c>
    </row>
    <row r="15" spans="2:21" x14ac:dyDescent="0.3">
      <c r="B15" s="3" t="s">
        <v>39</v>
      </c>
      <c r="C15" s="4">
        <f t="shared" si="0"/>
        <v>4166.666666666667</v>
      </c>
      <c r="D15" s="2">
        <f t="shared" si="1"/>
        <v>4166.666666666667</v>
      </c>
      <c r="E15" s="2">
        <f t="shared" si="2"/>
        <v>3750.0000000000005</v>
      </c>
      <c r="F15" s="2">
        <f t="shared" si="3"/>
        <v>3333.3333333333339</v>
      </c>
      <c r="G15" s="2">
        <f t="shared" si="4"/>
        <v>3750.0000000000005</v>
      </c>
      <c r="H15" s="2">
        <f t="shared" si="5"/>
        <v>4166.666666666667</v>
      </c>
      <c r="I15" s="2">
        <f t="shared" si="8"/>
        <v>5000</v>
      </c>
      <c r="J15" s="7">
        <f t="shared" si="12"/>
        <v>4583.3333333333339</v>
      </c>
      <c r="L15" s="4">
        <v>127000</v>
      </c>
      <c r="M15" s="4">
        <v>20000</v>
      </c>
      <c r="N15" s="4">
        <v>3</v>
      </c>
      <c r="O15" s="4">
        <v>13000</v>
      </c>
      <c r="P15" s="4">
        <v>60</v>
      </c>
      <c r="Q15" s="2">
        <f t="shared" si="9"/>
        <v>73000</v>
      </c>
      <c r="R15" s="4">
        <v>2</v>
      </c>
      <c r="S15" s="2">
        <f t="shared" si="10"/>
        <v>400000</v>
      </c>
      <c r="T15" s="2">
        <f t="shared" si="11"/>
        <v>3333.3333333333335</v>
      </c>
      <c r="U15" s="2">
        <f t="shared" si="7"/>
        <v>4166.666666666667</v>
      </c>
    </row>
    <row r="16" spans="2:21" x14ac:dyDescent="0.3">
      <c r="B16" s="3" t="s">
        <v>40</v>
      </c>
      <c r="C16" s="4">
        <f t="shared" si="0"/>
        <v>4229.166666666667</v>
      </c>
      <c r="D16" s="2">
        <f t="shared" si="1"/>
        <v>4229.166666666667</v>
      </c>
      <c r="E16" s="2">
        <f t="shared" si="2"/>
        <v>3806.2500000000005</v>
      </c>
      <c r="F16" s="2">
        <f t="shared" si="3"/>
        <v>3383.3333333333339</v>
      </c>
      <c r="G16" s="2">
        <f t="shared" si="4"/>
        <v>3806.2500000000005</v>
      </c>
      <c r="H16" s="2">
        <f t="shared" si="5"/>
        <v>4229.166666666667</v>
      </c>
      <c r="I16" s="2">
        <f t="shared" si="8"/>
        <v>5075</v>
      </c>
      <c r="J16" s="7">
        <f t="shared" si="12"/>
        <v>4652.0833333333339</v>
      </c>
      <c r="L16" s="4">
        <v>130000</v>
      </c>
      <c r="M16" s="4">
        <v>20000</v>
      </c>
      <c r="N16" s="4">
        <v>3</v>
      </c>
      <c r="O16" s="4">
        <v>13000</v>
      </c>
      <c r="P16" s="4">
        <v>60</v>
      </c>
      <c r="Q16" s="2">
        <f t="shared" si="9"/>
        <v>73000</v>
      </c>
      <c r="R16" s="4">
        <v>2</v>
      </c>
      <c r="S16" s="2">
        <f t="shared" si="10"/>
        <v>406000</v>
      </c>
      <c r="T16" s="2">
        <f t="shared" si="11"/>
        <v>3383.3333333333335</v>
      </c>
      <c r="U16" s="2">
        <f t="shared" si="7"/>
        <v>4229.166666666667</v>
      </c>
    </row>
    <row r="17" spans="2:21" x14ac:dyDescent="0.3">
      <c r="B17" s="15" t="s">
        <v>41</v>
      </c>
      <c r="C17" s="4">
        <f t="shared" si="0"/>
        <v>4750</v>
      </c>
      <c r="D17" s="2">
        <f t="shared" si="1"/>
        <v>4750</v>
      </c>
      <c r="E17" s="2">
        <f t="shared" si="2"/>
        <v>4275</v>
      </c>
      <c r="F17" s="2">
        <f t="shared" si="3"/>
        <v>3800</v>
      </c>
      <c r="G17" s="2">
        <f t="shared" si="4"/>
        <v>4275</v>
      </c>
      <c r="H17" s="2">
        <f t="shared" si="5"/>
        <v>4750</v>
      </c>
      <c r="I17" s="2">
        <f t="shared" si="8"/>
        <v>5700</v>
      </c>
      <c r="J17" s="7">
        <f t="shared" si="12"/>
        <v>5225</v>
      </c>
      <c r="L17" s="4">
        <v>155000</v>
      </c>
      <c r="M17" s="4">
        <v>30000</v>
      </c>
      <c r="N17" s="4">
        <v>2</v>
      </c>
      <c r="O17" s="4">
        <v>13000</v>
      </c>
      <c r="P17" s="4">
        <v>60</v>
      </c>
      <c r="Q17" s="2">
        <f t="shared" si="9"/>
        <v>73000</v>
      </c>
      <c r="R17" s="4">
        <v>2</v>
      </c>
      <c r="S17" s="2">
        <f t="shared" si="10"/>
        <v>456000</v>
      </c>
      <c r="T17" s="2">
        <f t="shared" si="11"/>
        <v>3800</v>
      </c>
      <c r="U17" s="2">
        <f t="shared" si="7"/>
        <v>4750</v>
      </c>
    </row>
    <row r="18" spans="2:21" x14ac:dyDescent="0.3">
      <c r="B18" s="3" t="s">
        <v>37</v>
      </c>
      <c r="C18" s="4">
        <f t="shared" si="0"/>
        <v>3145.833333333333</v>
      </c>
      <c r="D18" s="2">
        <f t="shared" si="1"/>
        <v>3145.833333333333</v>
      </c>
      <c r="E18" s="2">
        <f t="shared" si="2"/>
        <v>2831.25</v>
      </c>
      <c r="F18" s="2">
        <f t="shared" si="3"/>
        <v>2516.6666666666665</v>
      </c>
      <c r="G18" s="2">
        <f t="shared" si="4"/>
        <v>2831.25</v>
      </c>
      <c r="H18" s="2">
        <f t="shared" si="5"/>
        <v>3145.833333333333</v>
      </c>
      <c r="I18" s="2">
        <f t="shared" si="8"/>
        <v>3774.9999999999995</v>
      </c>
      <c r="J18" s="7">
        <f t="shared" si="12"/>
        <v>3460.4166666666665</v>
      </c>
      <c r="L18" s="4">
        <v>78000</v>
      </c>
      <c r="M18" s="4">
        <v>20000</v>
      </c>
      <c r="N18" s="4">
        <v>3</v>
      </c>
      <c r="O18" s="4">
        <v>13000</v>
      </c>
      <c r="P18" s="4">
        <v>60</v>
      </c>
      <c r="Q18" s="2">
        <f t="shared" si="9"/>
        <v>73000</v>
      </c>
      <c r="R18" s="4">
        <v>2</v>
      </c>
      <c r="S18" s="2">
        <f t="shared" si="10"/>
        <v>302000</v>
      </c>
      <c r="T18" s="2">
        <f t="shared" si="11"/>
        <v>2516.6666666666665</v>
      </c>
      <c r="U18" s="2">
        <f t="shared" si="7"/>
        <v>3145.833333333333</v>
      </c>
    </row>
    <row r="19" spans="2:21" x14ac:dyDescent="0.3">
      <c r="B19" s="3" t="s">
        <v>42</v>
      </c>
      <c r="C19" s="4">
        <f t="shared" si="0"/>
        <v>1583.3333333333335</v>
      </c>
      <c r="D19" s="2">
        <f t="shared" si="1"/>
        <v>1583.3333333333335</v>
      </c>
      <c r="E19" s="2">
        <f t="shared" si="2"/>
        <v>1425.0000000000002</v>
      </c>
      <c r="F19" s="2">
        <f t="shared" si="3"/>
        <v>1266.666666666667</v>
      </c>
      <c r="G19" s="2">
        <f t="shared" si="4"/>
        <v>1425.0000000000002</v>
      </c>
      <c r="H19" s="2">
        <f t="shared" si="5"/>
        <v>1583.3333333333335</v>
      </c>
      <c r="I19" s="2">
        <f t="shared" si="8"/>
        <v>1900</v>
      </c>
      <c r="J19" s="7">
        <f t="shared" si="12"/>
        <v>1741.666666666667</v>
      </c>
      <c r="L19" s="4">
        <v>35000</v>
      </c>
      <c r="M19" s="4">
        <v>20000</v>
      </c>
      <c r="N19" s="4">
        <v>2</v>
      </c>
      <c r="O19" s="4">
        <v>1000</v>
      </c>
      <c r="P19" s="4">
        <v>60</v>
      </c>
      <c r="Q19" s="2">
        <f t="shared" si="9"/>
        <v>41000</v>
      </c>
      <c r="R19" s="4">
        <v>2</v>
      </c>
      <c r="S19" s="2">
        <f t="shared" si="10"/>
        <v>152000</v>
      </c>
      <c r="T19" s="2">
        <f t="shared" si="11"/>
        <v>1266.6666666666667</v>
      </c>
      <c r="U19" s="2">
        <f t="shared" si="7"/>
        <v>1583.3333333333335</v>
      </c>
    </row>
    <row r="20" spans="2:21" x14ac:dyDescent="0.3">
      <c r="B20" s="3" t="s">
        <v>44</v>
      </c>
      <c r="C20" s="4">
        <f t="shared" si="0"/>
        <v>5104.166666666667</v>
      </c>
      <c r="D20" s="2">
        <f t="shared" si="1"/>
        <v>5104.166666666667</v>
      </c>
      <c r="E20" s="2">
        <f t="shared" si="2"/>
        <v>4593.75</v>
      </c>
      <c r="F20" s="2">
        <f t="shared" si="3"/>
        <v>4083.3333333333339</v>
      </c>
      <c r="G20" s="2">
        <f t="shared" si="4"/>
        <v>4593.75</v>
      </c>
      <c r="H20" s="2">
        <f t="shared" si="5"/>
        <v>5104.166666666667</v>
      </c>
      <c r="I20" s="2">
        <f t="shared" si="8"/>
        <v>6125</v>
      </c>
      <c r="J20" s="7">
        <f t="shared" si="12"/>
        <v>5614.5833333333339</v>
      </c>
      <c r="L20" s="4">
        <v>192000</v>
      </c>
      <c r="M20" s="4">
        <v>20000</v>
      </c>
      <c r="N20" s="4">
        <v>2</v>
      </c>
      <c r="O20" s="4">
        <v>13000</v>
      </c>
      <c r="P20" s="4">
        <v>60</v>
      </c>
      <c r="Q20" s="2">
        <f t="shared" si="9"/>
        <v>53000</v>
      </c>
      <c r="R20" s="4">
        <v>2</v>
      </c>
      <c r="S20" s="2">
        <f t="shared" si="10"/>
        <v>490000</v>
      </c>
      <c r="T20" s="2">
        <f t="shared" si="11"/>
        <v>4083.3333333333335</v>
      </c>
      <c r="U20" s="2">
        <f t="shared" si="7"/>
        <v>5104.166666666667</v>
      </c>
    </row>
    <row r="21" spans="2:21" x14ac:dyDescent="0.3">
      <c r="B21" s="3" t="s">
        <v>45</v>
      </c>
      <c r="C21" s="4">
        <f t="shared" si="0"/>
        <v>2437.5</v>
      </c>
      <c r="D21" s="2">
        <f t="shared" si="1"/>
        <v>2437.5</v>
      </c>
      <c r="E21" s="2">
        <f t="shared" si="2"/>
        <v>2193.75</v>
      </c>
      <c r="F21" s="2">
        <f t="shared" si="3"/>
        <v>1950</v>
      </c>
      <c r="G21" s="2">
        <f t="shared" si="4"/>
        <v>2193.75</v>
      </c>
      <c r="H21" s="2">
        <f t="shared" si="5"/>
        <v>2437.5</v>
      </c>
      <c r="I21" s="2">
        <f t="shared" si="8"/>
        <v>2925</v>
      </c>
      <c r="J21" s="7">
        <f t="shared" si="12"/>
        <v>2681.25</v>
      </c>
      <c r="L21" s="4">
        <v>70000</v>
      </c>
      <c r="M21" s="4">
        <v>10000</v>
      </c>
      <c r="N21" s="4">
        <v>4</v>
      </c>
      <c r="O21" s="4">
        <v>7000</v>
      </c>
      <c r="P21" s="4">
        <v>60</v>
      </c>
      <c r="Q21" s="2">
        <f t="shared" si="9"/>
        <v>47000</v>
      </c>
      <c r="R21" s="4">
        <v>2</v>
      </c>
      <c r="S21" s="2">
        <f t="shared" si="10"/>
        <v>234000</v>
      </c>
      <c r="T21" s="2">
        <f t="shared" si="11"/>
        <v>1950</v>
      </c>
      <c r="U21" s="2">
        <f t="shared" si="7"/>
        <v>2437.5</v>
      </c>
    </row>
    <row r="22" spans="2:21" x14ac:dyDescent="0.3">
      <c r="B22" s="3" t="s">
        <v>46</v>
      </c>
      <c r="C22" s="4">
        <f t="shared" si="0"/>
        <v>3291.666666666667</v>
      </c>
      <c r="D22" s="2">
        <f t="shared" si="1"/>
        <v>3291.666666666667</v>
      </c>
      <c r="E22" s="2">
        <f t="shared" si="2"/>
        <v>2962.5000000000005</v>
      </c>
      <c r="F22" s="2">
        <f t="shared" si="3"/>
        <v>2633.3333333333339</v>
      </c>
      <c r="G22" s="2">
        <f t="shared" si="4"/>
        <v>2962.5000000000005</v>
      </c>
      <c r="H22" s="2">
        <f t="shared" si="5"/>
        <v>3291.666666666667</v>
      </c>
      <c r="I22" s="2">
        <f t="shared" si="8"/>
        <v>3950</v>
      </c>
      <c r="J22" s="7">
        <f t="shared" si="12"/>
        <v>3620.8333333333339</v>
      </c>
      <c r="L22" s="4">
        <v>115000</v>
      </c>
      <c r="M22" s="4">
        <v>10000</v>
      </c>
      <c r="N22" s="4">
        <v>3</v>
      </c>
      <c r="O22" s="4">
        <v>13000</v>
      </c>
      <c r="P22" s="4">
        <v>60</v>
      </c>
      <c r="Q22" s="2">
        <f t="shared" si="9"/>
        <v>43000</v>
      </c>
      <c r="R22" s="4">
        <v>2</v>
      </c>
      <c r="S22" s="2">
        <f t="shared" si="10"/>
        <v>316000</v>
      </c>
      <c r="T22" s="2">
        <f t="shared" si="11"/>
        <v>2633.3333333333335</v>
      </c>
      <c r="U22" s="2">
        <f t="shared" si="7"/>
        <v>3291.666666666667</v>
      </c>
    </row>
    <row r="23" spans="2:21" x14ac:dyDescent="0.3">
      <c r="B23" s="3" t="s">
        <v>47</v>
      </c>
      <c r="C23" s="4">
        <v>2500</v>
      </c>
      <c r="D23" s="2">
        <f t="shared" si="1"/>
        <v>2500</v>
      </c>
      <c r="E23" s="2">
        <f t="shared" si="2"/>
        <v>2250</v>
      </c>
      <c r="F23" s="2">
        <f t="shared" si="3"/>
        <v>2000</v>
      </c>
      <c r="G23" s="2">
        <f t="shared" si="4"/>
        <v>2250</v>
      </c>
      <c r="H23" s="2">
        <f t="shared" si="5"/>
        <v>2500</v>
      </c>
      <c r="I23" s="2">
        <f t="shared" si="8"/>
        <v>3000</v>
      </c>
      <c r="J23" s="7">
        <f t="shared" si="12"/>
        <v>2750</v>
      </c>
      <c r="L23" s="4"/>
      <c r="M23" s="4"/>
      <c r="N23" s="4"/>
      <c r="O23" s="4"/>
      <c r="P23" s="4">
        <v>60</v>
      </c>
      <c r="Q23" s="2">
        <f t="shared" si="9"/>
        <v>0</v>
      </c>
      <c r="R23" s="4">
        <v>2</v>
      </c>
      <c r="S23" s="2">
        <f t="shared" si="10"/>
        <v>0</v>
      </c>
      <c r="T23" s="2">
        <f t="shared" si="11"/>
        <v>0</v>
      </c>
      <c r="U23" s="2">
        <f t="shared" si="7"/>
        <v>0</v>
      </c>
    </row>
    <row r="24" spans="2:21" x14ac:dyDescent="0.3">
      <c r="B24" s="3" t="s">
        <v>48</v>
      </c>
      <c r="C24" s="4">
        <f t="shared" si="0"/>
        <v>5166.6666666666661</v>
      </c>
      <c r="D24" s="2">
        <f t="shared" si="1"/>
        <v>5166.6666666666661</v>
      </c>
      <c r="E24" s="2">
        <f t="shared" si="2"/>
        <v>4650</v>
      </c>
      <c r="F24" s="2">
        <f t="shared" si="3"/>
        <v>4133.333333333333</v>
      </c>
      <c r="G24" s="2">
        <f t="shared" si="4"/>
        <v>4650</v>
      </c>
      <c r="H24" s="2">
        <f t="shared" si="5"/>
        <v>5166.6666666666661</v>
      </c>
      <c r="I24" s="2">
        <f t="shared" si="8"/>
        <v>6199.9999999999991</v>
      </c>
      <c r="J24" s="7">
        <f t="shared" si="12"/>
        <v>5683.333333333333</v>
      </c>
      <c r="L24" s="4">
        <v>195000</v>
      </c>
      <c r="M24" s="4">
        <v>10000</v>
      </c>
      <c r="N24" s="4">
        <v>4</v>
      </c>
      <c r="O24" s="4">
        <v>13000</v>
      </c>
      <c r="P24" s="4">
        <v>60</v>
      </c>
      <c r="Q24" s="2">
        <f t="shared" si="9"/>
        <v>53000</v>
      </c>
      <c r="R24" s="4">
        <v>2</v>
      </c>
      <c r="S24" s="2">
        <f t="shared" si="10"/>
        <v>496000</v>
      </c>
      <c r="T24" s="2">
        <f t="shared" si="11"/>
        <v>4133.333333333333</v>
      </c>
      <c r="U24" s="2">
        <f t="shared" si="7"/>
        <v>5166.6666666666661</v>
      </c>
    </row>
    <row r="25" spans="2:21" x14ac:dyDescent="0.3">
      <c r="B25" s="3" t="s">
        <v>49</v>
      </c>
      <c r="C25" s="4">
        <f t="shared" si="0"/>
        <v>2145.8333333333335</v>
      </c>
      <c r="D25" s="2">
        <f t="shared" si="1"/>
        <v>2145.8333333333335</v>
      </c>
      <c r="E25" s="2">
        <f t="shared" si="2"/>
        <v>1931.2500000000002</v>
      </c>
      <c r="F25" s="2">
        <f t="shared" si="3"/>
        <v>1716.666666666667</v>
      </c>
      <c r="G25" s="2">
        <f t="shared" si="4"/>
        <v>1931.2500000000002</v>
      </c>
      <c r="H25" s="2">
        <f t="shared" si="5"/>
        <v>2145.8333333333335</v>
      </c>
      <c r="I25" s="2">
        <f t="shared" si="8"/>
        <v>2575</v>
      </c>
      <c r="J25" s="7">
        <f t="shared" si="12"/>
        <v>2360.416666666667</v>
      </c>
      <c r="L25" s="4">
        <v>80000</v>
      </c>
      <c r="M25" s="4">
        <v>5000</v>
      </c>
      <c r="N25" s="4">
        <v>2</v>
      </c>
      <c r="O25" s="4">
        <v>13000</v>
      </c>
      <c r="P25" s="4">
        <v>60</v>
      </c>
      <c r="Q25" s="2">
        <f t="shared" si="9"/>
        <v>23000</v>
      </c>
      <c r="R25" s="4">
        <v>2</v>
      </c>
      <c r="S25" s="2">
        <f t="shared" si="10"/>
        <v>206000</v>
      </c>
      <c r="T25" s="2">
        <f t="shared" si="11"/>
        <v>1716.6666666666667</v>
      </c>
      <c r="U25" s="2">
        <f t="shared" si="7"/>
        <v>2145.8333333333335</v>
      </c>
    </row>
    <row r="26" spans="2:21" x14ac:dyDescent="0.3">
      <c r="B26" s="3" t="s">
        <v>51</v>
      </c>
      <c r="C26" s="4">
        <f t="shared" si="0"/>
        <v>3708.333333333333</v>
      </c>
      <c r="D26" s="2">
        <f t="shared" si="1"/>
        <v>3708.333333333333</v>
      </c>
      <c r="E26" s="2">
        <f t="shared" si="2"/>
        <v>3337.5</v>
      </c>
      <c r="F26" s="2">
        <f t="shared" si="3"/>
        <v>2966.6666666666665</v>
      </c>
      <c r="G26" s="2">
        <f t="shared" si="4"/>
        <v>3337.5</v>
      </c>
      <c r="H26" s="2">
        <f t="shared" si="5"/>
        <v>3708.333333333333</v>
      </c>
      <c r="I26" s="2">
        <f t="shared" si="8"/>
        <v>4449.9999999999991</v>
      </c>
      <c r="J26" s="7">
        <f t="shared" si="12"/>
        <v>4079.1666666666665</v>
      </c>
      <c r="L26" s="4">
        <v>145000</v>
      </c>
      <c r="M26" s="4">
        <v>10000</v>
      </c>
      <c r="N26" s="4">
        <v>2</v>
      </c>
      <c r="O26" s="4">
        <v>13000</v>
      </c>
      <c r="P26" s="4">
        <v>60</v>
      </c>
      <c r="Q26" s="2">
        <f t="shared" si="9"/>
        <v>33000</v>
      </c>
      <c r="R26" s="4">
        <v>2</v>
      </c>
      <c r="S26" s="2">
        <f t="shared" si="10"/>
        <v>356000</v>
      </c>
      <c r="T26" s="2">
        <f t="shared" si="11"/>
        <v>2966.6666666666665</v>
      </c>
      <c r="U26" s="2">
        <f t="shared" si="7"/>
        <v>3708.333333333333</v>
      </c>
    </row>
    <row r="27" spans="2:21" x14ac:dyDescent="0.3">
      <c r="B27" s="3" t="s">
        <v>53</v>
      </c>
      <c r="C27" s="4">
        <f t="shared" si="0"/>
        <v>0</v>
      </c>
      <c r="D27" s="2">
        <f t="shared" ref="D27:D28" si="13">C27</f>
        <v>0</v>
      </c>
      <c r="E27" s="2">
        <f t="shared" ref="E27:E28" si="14">C27*0.9</f>
        <v>0</v>
      </c>
      <c r="F27" s="2">
        <f t="shared" ref="F27:F28" si="15">C27*0.8</f>
        <v>0</v>
      </c>
      <c r="G27" s="2">
        <f t="shared" ref="G27:G28" si="16">C27*0.9</f>
        <v>0</v>
      </c>
      <c r="H27" s="2">
        <f t="shared" ref="H27:H28" si="17">C27</f>
        <v>0</v>
      </c>
      <c r="I27" s="2">
        <f t="shared" ref="I27:I28" si="18">D27*1.2</f>
        <v>0</v>
      </c>
      <c r="J27" s="7">
        <f t="shared" ref="J27:J28" si="19">C27*1.1</f>
        <v>0</v>
      </c>
      <c r="L27" s="4"/>
      <c r="M27" s="4"/>
      <c r="N27" s="4"/>
      <c r="O27" s="4"/>
      <c r="P27" s="4">
        <v>60</v>
      </c>
      <c r="Q27" s="2">
        <f t="shared" si="9"/>
        <v>0</v>
      </c>
      <c r="R27" s="4">
        <v>2</v>
      </c>
      <c r="S27" s="2">
        <f t="shared" si="10"/>
        <v>0</v>
      </c>
      <c r="T27" s="2">
        <f t="shared" si="11"/>
        <v>0</v>
      </c>
      <c r="U27" s="2">
        <f t="shared" si="7"/>
        <v>0</v>
      </c>
    </row>
    <row r="28" spans="2:21" x14ac:dyDescent="0.3">
      <c r="B28" s="3" t="s">
        <v>52</v>
      </c>
      <c r="C28" s="4">
        <f t="shared" si="0"/>
        <v>3437.5</v>
      </c>
      <c r="D28" s="2">
        <f t="shared" si="13"/>
        <v>3437.5</v>
      </c>
      <c r="E28" s="2">
        <f t="shared" si="14"/>
        <v>3093.75</v>
      </c>
      <c r="F28" s="2">
        <f t="shared" si="15"/>
        <v>2750</v>
      </c>
      <c r="G28" s="2">
        <f t="shared" si="16"/>
        <v>3093.75</v>
      </c>
      <c r="H28" s="2">
        <f t="shared" si="17"/>
        <v>3437.5</v>
      </c>
      <c r="I28" s="2">
        <f t="shared" si="18"/>
        <v>4125</v>
      </c>
      <c r="J28" s="7">
        <f t="shared" si="19"/>
        <v>3781.2500000000005</v>
      </c>
      <c r="L28" s="4">
        <v>122000</v>
      </c>
      <c r="M28" s="4">
        <v>15000</v>
      </c>
      <c r="N28" s="4">
        <v>2</v>
      </c>
      <c r="O28" s="4">
        <v>13000</v>
      </c>
      <c r="P28" s="4">
        <v>60</v>
      </c>
      <c r="Q28" s="2">
        <f t="shared" si="9"/>
        <v>43000</v>
      </c>
      <c r="R28" s="4">
        <v>2</v>
      </c>
      <c r="S28" s="2">
        <f t="shared" si="10"/>
        <v>330000</v>
      </c>
      <c r="T28" s="2">
        <f t="shared" si="11"/>
        <v>2750</v>
      </c>
      <c r="U28" s="2">
        <f t="shared" si="7"/>
        <v>3437.5</v>
      </c>
    </row>
    <row r="29" spans="2:21" x14ac:dyDescent="0.3">
      <c r="B29" s="3" t="s">
        <v>50</v>
      </c>
      <c r="C29" s="4">
        <f t="shared" si="0"/>
        <v>2229.1666666666665</v>
      </c>
      <c r="D29" s="2">
        <f t="shared" si="1"/>
        <v>2229.1666666666665</v>
      </c>
      <c r="E29" s="2">
        <f t="shared" si="2"/>
        <v>2006.25</v>
      </c>
      <c r="F29" s="2">
        <f t="shared" si="3"/>
        <v>1783.3333333333333</v>
      </c>
      <c r="G29" s="2">
        <f t="shared" si="4"/>
        <v>2006.25</v>
      </c>
      <c r="H29" s="2">
        <f t="shared" si="5"/>
        <v>2229.1666666666665</v>
      </c>
      <c r="I29" s="2">
        <f t="shared" si="8"/>
        <v>2674.9999999999995</v>
      </c>
      <c r="J29" s="7">
        <f t="shared" si="12"/>
        <v>2452.0833333333335</v>
      </c>
      <c r="L29" s="4">
        <v>80000</v>
      </c>
      <c r="M29" s="4">
        <v>7000</v>
      </c>
      <c r="N29" s="4">
        <v>2</v>
      </c>
      <c r="O29" s="4">
        <v>13000</v>
      </c>
      <c r="P29" s="4">
        <v>60</v>
      </c>
      <c r="Q29" s="2">
        <f t="shared" si="9"/>
        <v>27000</v>
      </c>
      <c r="R29" s="4">
        <v>2</v>
      </c>
      <c r="S29" s="2">
        <f t="shared" si="10"/>
        <v>214000</v>
      </c>
      <c r="T29" s="2">
        <f t="shared" si="11"/>
        <v>1783.3333333333333</v>
      </c>
      <c r="U29" s="2">
        <f t="shared" si="7"/>
        <v>2229.1666666666665</v>
      </c>
    </row>
    <row r="30" spans="2:21" x14ac:dyDescent="0.3">
      <c r="B30" s="3" t="s">
        <v>43</v>
      </c>
      <c r="C30" s="4">
        <f>U30</f>
        <v>2416.6666666666665</v>
      </c>
      <c r="D30" s="2">
        <f t="shared" si="1"/>
        <v>2416.6666666666665</v>
      </c>
      <c r="E30" s="14">
        <f t="shared" si="2"/>
        <v>2175</v>
      </c>
      <c r="F30" s="2">
        <f t="shared" si="3"/>
        <v>1933.3333333333333</v>
      </c>
      <c r="G30" s="14">
        <f t="shared" si="4"/>
        <v>2175</v>
      </c>
      <c r="H30" s="2">
        <f t="shared" si="5"/>
        <v>2416.6666666666665</v>
      </c>
      <c r="I30" s="2">
        <f t="shared" si="8"/>
        <v>2899.9999999999995</v>
      </c>
      <c r="J30" s="7">
        <f t="shared" si="12"/>
        <v>2658.3333333333335</v>
      </c>
      <c r="L30" s="13">
        <v>83000</v>
      </c>
      <c r="M30" s="13">
        <v>10000</v>
      </c>
      <c r="N30" s="13">
        <v>2</v>
      </c>
      <c r="O30" s="13">
        <v>13000</v>
      </c>
      <c r="P30" s="4">
        <v>60</v>
      </c>
      <c r="Q30" s="14">
        <f t="shared" si="9"/>
        <v>33000</v>
      </c>
      <c r="R30" s="14">
        <v>2</v>
      </c>
      <c r="S30" s="2">
        <f t="shared" si="10"/>
        <v>232000</v>
      </c>
      <c r="T30" s="2">
        <f t="shared" si="11"/>
        <v>1933.3333333333333</v>
      </c>
      <c r="U30" s="2">
        <f t="shared" si="7"/>
        <v>2416.6666666666665</v>
      </c>
    </row>
    <row r="31" spans="2:21" x14ac:dyDescent="0.3">
      <c r="B31" s="1"/>
      <c r="C31" s="1"/>
      <c r="D31" s="1"/>
      <c r="E31" s="1"/>
      <c r="F31" s="1"/>
      <c r="G31" s="1"/>
      <c r="H31" s="1"/>
      <c r="I31" s="1"/>
      <c r="J31" s="1"/>
    </row>
    <row r="32" spans="2:21" x14ac:dyDescent="0.3">
      <c r="B32" s="16" t="s">
        <v>23</v>
      </c>
      <c r="C32" s="16"/>
      <c r="D32" s="17" t="s">
        <v>24</v>
      </c>
      <c r="E32" s="17"/>
      <c r="F32" s="17"/>
      <c r="G32" s="17"/>
      <c r="H32" s="1"/>
      <c r="I32" s="1"/>
      <c r="J32" s="1"/>
    </row>
    <row r="33" spans="2:17" x14ac:dyDescent="0.3">
      <c r="B33" s="16" t="s">
        <v>25</v>
      </c>
      <c r="C33" s="16"/>
      <c r="D33" s="17" t="s">
        <v>24</v>
      </c>
      <c r="E33" s="17"/>
      <c r="F33" s="17"/>
      <c r="G33" s="17"/>
      <c r="H33" s="1"/>
      <c r="I33" s="1"/>
      <c r="J33" s="1"/>
    </row>
    <row r="34" spans="2:17" ht="43.2" customHeight="1" x14ac:dyDescent="0.3">
      <c r="B34" s="18" t="s">
        <v>26</v>
      </c>
      <c r="C34" s="18"/>
      <c r="D34" s="6">
        <v>690</v>
      </c>
      <c r="E34" s="1"/>
      <c r="F34" s="1"/>
      <c r="G34" s="1"/>
      <c r="H34" s="1"/>
      <c r="I34" s="1"/>
      <c r="J34" s="1"/>
      <c r="Q34" s="11"/>
    </row>
    <row r="35" spans="2:17" x14ac:dyDescent="0.3">
      <c r="B35" s="16" t="s">
        <v>27</v>
      </c>
      <c r="C35" s="16"/>
      <c r="D35" s="6">
        <v>290</v>
      </c>
      <c r="E35" s="1"/>
      <c r="F35" s="1"/>
      <c r="G35" s="1"/>
      <c r="H35" s="1"/>
      <c r="I35" s="1"/>
      <c r="J35" s="1"/>
    </row>
    <row r="36" spans="2:17" x14ac:dyDescent="0.3">
      <c r="B36" s="16"/>
      <c r="C36" s="16"/>
      <c r="D36" s="6"/>
      <c r="E36" s="1"/>
      <c r="F36" s="1"/>
      <c r="G36" s="8"/>
      <c r="H36" s="8"/>
      <c r="I36" s="8"/>
      <c r="J36" s="8"/>
    </row>
    <row r="37" spans="2:17" x14ac:dyDescent="0.3">
      <c r="B37" s="1"/>
      <c r="C37" s="1"/>
      <c r="D37" s="1"/>
      <c r="E37" s="1"/>
      <c r="F37" s="1"/>
      <c r="G37" s="8"/>
      <c r="H37" s="8"/>
      <c r="I37" s="8"/>
      <c r="J37" s="8"/>
      <c r="M37" s="11"/>
    </row>
    <row r="38" spans="2:17" x14ac:dyDescent="0.3">
      <c r="B38" s="1"/>
      <c r="C38" s="1"/>
      <c r="D38" s="1"/>
      <c r="E38" s="1"/>
      <c r="F38" s="1"/>
      <c r="G38" s="8"/>
      <c r="H38" s="8"/>
      <c r="I38" s="8"/>
      <c r="J38" s="8"/>
    </row>
    <row r="39" spans="2:17" x14ac:dyDescent="0.3">
      <c r="B39" s="9" t="s">
        <v>32</v>
      </c>
      <c r="C39" s="10">
        <f>SUM(C41:C56)</f>
        <v>3900000</v>
      </c>
      <c r="D39" s="10">
        <f>SUM(D41:D56)</f>
        <v>2995000</v>
      </c>
      <c r="E39" s="10"/>
      <c r="F39" s="10"/>
      <c r="G39" s="8"/>
      <c r="H39" s="8"/>
      <c r="I39" s="8"/>
      <c r="J39" s="8"/>
    </row>
    <row r="40" spans="2:17" x14ac:dyDescent="0.3">
      <c r="B40" s="3" t="s">
        <v>7</v>
      </c>
      <c r="C40" s="2" t="s">
        <v>30</v>
      </c>
      <c r="D40" s="2" t="s">
        <v>31</v>
      </c>
      <c r="E40" s="2"/>
      <c r="F40" s="2"/>
      <c r="G40" s="8"/>
      <c r="H40" s="8"/>
      <c r="I40" s="8"/>
      <c r="J40" s="8"/>
    </row>
    <row r="41" spans="2:17" x14ac:dyDescent="0.3">
      <c r="B41" s="3" t="s">
        <v>9</v>
      </c>
      <c r="C41" s="2">
        <f t="shared" ref="C41:C56" si="20">C4*P4</f>
        <v>165000</v>
      </c>
      <c r="D41" s="2">
        <f t="shared" ref="D41:D56" si="21">C41-Q4</f>
        <v>122000</v>
      </c>
      <c r="E41" s="2"/>
      <c r="F41" s="2"/>
      <c r="G41" s="8"/>
      <c r="H41" s="8"/>
      <c r="I41" s="8"/>
      <c r="J41" s="8"/>
    </row>
    <row r="42" spans="2:17" x14ac:dyDescent="0.3">
      <c r="B42" s="3" t="s">
        <v>10</v>
      </c>
      <c r="C42" s="2">
        <f t="shared" si="20"/>
        <v>316250.00000000006</v>
      </c>
      <c r="D42" s="2">
        <f t="shared" si="21"/>
        <v>273250.00000000006</v>
      </c>
      <c r="E42" s="2"/>
      <c r="F42" s="2"/>
      <c r="G42" s="8"/>
      <c r="H42" s="8"/>
      <c r="I42" s="8"/>
      <c r="J42" s="8"/>
    </row>
    <row r="43" spans="2:17" x14ac:dyDescent="0.3">
      <c r="B43" s="3" t="s">
        <v>12</v>
      </c>
      <c r="C43" s="2">
        <f t="shared" si="20"/>
        <v>250000.00000000003</v>
      </c>
      <c r="D43" s="2">
        <f t="shared" si="21"/>
        <v>192000.00000000003</v>
      </c>
      <c r="E43" s="2"/>
      <c r="F43" s="2"/>
    </row>
    <row r="44" spans="2:17" x14ac:dyDescent="0.3">
      <c r="B44" s="3" t="s">
        <v>38</v>
      </c>
      <c r="C44" s="2">
        <f t="shared" si="20"/>
        <v>366249.99999999994</v>
      </c>
      <c r="D44" s="2">
        <f t="shared" si="21"/>
        <v>323249.99999999994</v>
      </c>
      <c r="E44" s="2"/>
      <c r="F44" s="2"/>
    </row>
    <row r="45" spans="2:17" x14ac:dyDescent="0.3">
      <c r="B45" s="3" t="s">
        <v>11</v>
      </c>
      <c r="C45" s="2">
        <f t="shared" si="20"/>
        <v>156250.00000000003</v>
      </c>
      <c r="D45" s="2">
        <f t="shared" si="21"/>
        <v>113250.00000000003</v>
      </c>
      <c r="E45" s="2"/>
      <c r="F45" s="2"/>
    </row>
    <row r="46" spans="2:17" x14ac:dyDescent="0.3">
      <c r="B46" s="3" t="s">
        <v>28</v>
      </c>
      <c r="C46" s="2">
        <f t="shared" si="20"/>
        <v>90000</v>
      </c>
      <c r="D46" s="2">
        <f t="shared" si="21"/>
        <v>63000</v>
      </c>
      <c r="E46" s="2"/>
      <c r="F46" s="2"/>
    </row>
    <row r="47" spans="2:17" x14ac:dyDescent="0.3">
      <c r="B47" s="3" t="s">
        <v>29</v>
      </c>
      <c r="C47" s="2">
        <f t="shared" si="20"/>
        <v>178750.00000000003</v>
      </c>
      <c r="D47" s="2">
        <f t="shared" si="21"/>
        <v>125750.00000000003</v>
      </c>
      <c r="E47" s="2"/>
      <c r="F47" s="2"/>
    </row>
    <row r="48" spans="2:17" x14ac:dyDescent="0.3">
      <c r="B48" s="3" t="s">
        <v>33</v>
      </c>
      <c r="C48" s="2">
        <f t="shared" si="20"/>
        <v>341250</v>
      </c>
      <c r="D48" s="2">
        <f t="shared" si="21"/>
        <v>268250</v>
      </c>
      <c r="E48" s="2"/>
      <c r="F48" s="2"/>
      <c r="M48" s="11"/>
    </row>
    <row r="49" spans="2:6" x14ac:dyDescent="0.3">
      <c r="B49" s="3" t="s">
        <v>34</v>
      </c>
      <c r="C49" s="2">
        <f t="shared" si="20"/>
        <v>301250</v>
      </c>
      <c r="D49" s="2">
        <f t="shared" si="21"/>
        <v>228250</v>
      </c>
      <c r="E49" s="12"/>
      <c r="F49" s="12"/>
    </row>
    <row r="50" spans="2:6" x14ac:dyDescent="0.3">
      <c r="B50" s="3" t="s">
        <v>35</v>
      </c>
      <c r="C50" s="2">
        <f t="shared" si="20"/>
        <v>391250.00000000006</v>
      </c>
      <c r="D50" s="2">
        <f t="shared" si="21"/>
        <v>318250.00000000006</v>
      </c>
      <c r="E50" s="12"/>
      <c r="F50" s="12"/>
    </row>
    <row r="51" spans="2:6" x14ac:dyDescent="0.3">
      <c r="B51" s="3" t="s">
        <v>36</v>
      </c>
      <c r="C51" s="2">
        <f t="shared" si="20"/>
        <v>271250</v>
      </c>
      <c r="D51" s="2">
        <f t="shared" si="21"/>
        <v>228250</v>
      </c>
      <c r="E51" s="12"/>
      <c r="F51" s="12"/>
    </row>
    <row r="52" spans="2:6" x14ac:dyDescent="0.3">
      <c r="B52" s="3" t="s">
        <v>39</v>
      </c>
      <c r="C52" s="2">
        <f t="shared" si="20"/>
        <v>250000.00000000003</v>
      </c>
      <c r="D52" s="2">
        <f t="shared" si="21"/>
        <v>177000.00000000003</v>
      </c>
      <c r="E52" s="12"/>
      <c r="F52" s="12"/>
    </row>
    <row r="53" spans="2:6" x14ac:dyDescent="0.3">
      <c r="B53" s="3" t="s">
        <v>40</v>
      </c>
      <c r="C53" s="2">
        <f t="shared" si="20"/>
        <v>253750.00000000003</v>
      </c>
      <c r="D53" s="2">
        <f t="shared" si="21"/>
        <v>180750.00000000003</v>
      </c>
      <c r="E53" s="12"/>
      <c r="F53" s="12"/>
    </row>
    <row r="54" spans="2:6" x14ac:dyDescent="0.3">
      <c r="B54" s="3" t="s">
        <v>41</v>
      </c>
      <c r="C54" s="2">
        <f t="shared" si="20"/>
        <v>285000</v>
      </c>
      <c r="D54" s="2">
        <f t="shared" si="21"/>
        <v>212000</v>
      </c>
      <c r="E54" s="12"/>
      <c r="F54" s="12"/>
    </row>
    <row r="55" spans="2:6" x14ac:dyDescent="0.3">
      <c r="B55" s="3" t="s">
        <v>37</v>
      </c>
      <c r="C55" s="2">
        <f t="shared" si="20"/>
        <v>188749.99999999997</v>
      </c>
      <c r="D55" s="2">
        <f t="shared" si="21"/>
        <v>115749.99999999997</v>
      </c>
      <c r="E55" s="12"/>
      <c r="F55" s="12"/>
    </row>
    <row r="56" spans="2:6" x14ac:dyDescent="0.3">
      <c r="B56" s="3" t="s">
        <v>42</v>
      </c>
      <c r="C56" s="2">
        <f t="shared" si="20"/>
        <v>95000.000000000015</v>
      </c>
      <c r="D56" s="2">
        <f t="shared" si="21"/>
        <v>54000.000000000015</v>
      </c>
      <c r="E56" s="12"/>
      <c r="F56" s="12"/>
    </row>
  </sheetData>
  <mergeCells count="7">
    <mergeCell ref="B32:C32"/>
    <mergeCell ref="D32:G32"/>
    <mergeCell ref="B35:C35"/>
    <mergeCell ref="B36:C36"/>
    <mergeCell ref="B33:C33"/>
    <mergeCell ref="D33:G33"/>
    <mergeCell ref="B34:C34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Jirka</dc:creator>
  <cp:lastModifiedBy>Jirka</cp:lastModifiedBy>
  <dcterms:created xsi:type="dcterms:W3CDTF">2026-01-20T20:45:20Z</dcterms:created>
  <dcterms:modified xsi:type="dcterms:W3CDTF">2026-09-11T20:10:52Z</dcterms:modified>
</cp:coreProperties>
</file>